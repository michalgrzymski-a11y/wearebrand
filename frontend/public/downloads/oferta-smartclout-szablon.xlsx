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19">
    <font>
      <name val="Calibri"/>
      <family val="2"/>
      <color theme="1"/>
      <sz val="11"/>
      <scheme val="minor"/>
    </font>
    <font>
      <name val="Segoe UI"/>
      <b val="1"/>
      <color rgb="FF06FFE0"/>
      <sz val="20"/>
    </font>
    <font>
      <name val="Segoe UI"/>
      <b val="1"/>
      <color rgb="FF7CC4C0"/>
      <sz val="8"/>
    </font>
    <font>
      <name val="Segoe UI"/>
      <b val="1"/>
      <color rgb="FF06FFE0"/>
      <sz val="10"/>
    </font>
    <font>
      <name val="Segoe UI"/>
      <color rgb="FFFFFFFF"/>
      <sz val="9"/>
    </font>
    <font>
      <name val="Segoe UI"/>
      <b val="1"/>
      <color rgb="FF0C5C62"/>
      <sz val="9"/>
    </font>
    <font>
      <name val="Segoe UI"/>
      <b val="1"/>
      <color rgb="FF0C5C62"/>
      <sz val="12"/>
    </font>
    <font>
      <name val="Segoe UI"/>
      <color rgb="FF7A999E"/>
      <sz val="10"/>
    </font>
    <font>
      <name val="Segoe UI"/>
      <color rgb="FF0C5C62"/>
      <sz val="10"/>
    </font>
    <font>
      <name val="Segoe UI"/>
      <b val="1"/>
      <color rgb="FF00B8D4"/>
      <sz val="9"/>
    </font>
    <font>
      <name val="Segoe UI"/>
      <b val="1"/>
      <color rgb="FFFFFFFF"/>
      <sz val="10"/>
    </font>
    <font>
      <name val="Segoe UI"/>
      <b val="1"/>
      <color rgb="FF0C5C62"/>
      <sz val="10"/>
    </font>
    <font>
      <name val="Segoe UI"/>
      <i val="1"/>
      <color rgb="FF7A999E"/>
      <sz val="10"/>
    </font>
    <font>
      <name val="Segoe UI"/>
      <b val="1"/>
      <color rgb="FF0C5C62"/>
      <sz val="11"/>
    </font>
    <font>
      <name val="Segoe UI"/>
      <b val="1"/>
      <color rgb="FF06FFE0"/>
      <sz val="13"/>
    </font>
    <font>
      <name val="Segoe UI"/>
      <b val="1"/>
      <color rgb="FF06FFE0"/>
      <sz val="14"/>
    </font>
    <font>
      <name val="Segoe UI"/>
      <color rgb="FF7A999E"/>
      <sz val="9"/>
    </font>
    <font>
      <name val="Segoe UI"/>
      <color rgb="FF7A999E"/>
      <sz val="8"/>
    </font>
    <font>
      <name val="Segoe UI"/>
      <color rgb="FF9FB5B8"/>
      <sz val="8"/>
    </font>
  </fonts>
  <fills count="8">
    <fill>
      <patternFill/>
    </fill>
    <fill>
      <patternFill patternType="gray125"/>
    </fill>
    <fill>
      <patternFill patternType="solid">
        <fgColor rgb="FF040709"/>
      </patternFill>
    </fill>
    <fill>
      <patternFill patternType="solid">
        <fgColor rgb="FF06FFE0"/>
      </patternFill>
    </fill>
    <fill>
      <patternFill patternType="solid">
        <fgColor rgb="FF00B8D4"/>
      </patternFill>
    </fill>
    <fill>
      <patternFill patternType="solid">
        <fgColor rgb="FF0C5C62"/>
      </patternFill>
    </fill>
    <fill>
      <patternFill patternType="solid">
        <fgColor rgb="FFFFFFFF"/>
      </patternFill>
    </fill>
    <fill>
      <patternFill patternType="solid">
        <fgColor rgb="FFF6F9FA"/>
      </patternFill>
    </fill>
  </fills>
  <borders count="3">
    <border>
      <left/>
      <right/>
      <top/>
      <bottom/>
      <diagonal/>
    </border>
    <border>
      <left style="thin">
        <color rgb="00D5E2E4"/>
      </left>
      <right style="thin">
        <color rgb="00D5E2E4"/>
      </right>
      <top style="medium">
        <color rgb="000C5C62"/>
      </top>
      <bottom style="medium">
        <color rgb="000C5C62"/>
      </bottom>
    </border>
    <border>
      <left style="thin">
        <color rgb="00D5E2E4"/>
      </left>
      <right style="thin">
        <color rgb="00D5E2E4"/>
      </right>
      <top style="thin">
        <color rgb="00D5E2E4"/>
      </top>
      <bottom style="thin">
        <color rgb="00D5E2E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8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6" borderId="2" applyAlignment="1" pivotButton="0" quotePrefix="0" xfId="0">
      <alignment vertical="center" wrapText="1"/>
    </xf>
    <xf numFmtId="164" fontId="8" fillId="6" borderId="2" applyAlignment="1" pivotButton="0" quotePrefix="0" xfId="0">
      <alignment horizontal="right" vertical="center"/>
    </xf>
    <xf numFmtId="9" fontId="8" fillId="6" borderId="2" applyAlignment="1" pivotButton="0" quotePrefix="0" xfId="0">
      <alignment horizontal="center" vertical="center"/>
    </xf>
    <xf numFmtId="164" fontId="11" fillId="6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vertical="center" wrapText="1"/>
    </xf>
    <xf numFmtId="164" fontId="8" fillId="7" borderId="2" applyAlignment="1" pivotButton="0" quotePrefix="0" xfId="0">
      <alignment horizontal="right" vertical="center"/>
    </xf>
    <xf numFmtId="9" fontId="8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right" vertical="center"/>
    </xf>
    <xf numFmtId="0" fontId="8" fillId="6" borderId="2" applyAlignment="1" pivotButton="0" quotePrefix="0" xfId="0">
      <alignment vertical="center" wrapText="1"/>
    </xf>
    <xf numFmtId="0" fontId="0" fillId="7" borderId="0" pivotButton="0" quotePrefix="0" xfId="0"/>
    <xf numFmtId="0" fontId="13" fillId="7" borderId="0" applyAlignment="1" pivotButton="0" quotePrefix="0" xfId="0">
      <alignment horizontal="right" vertical="center"/>
    </xf>
    <xf numFmtId="164" fontId="13" fillId="7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14" fillId="5" borderId="0" applyAlignment="1" pivotButton="0" quotePrefix="0" xfId="0">
      <alignment horizontal="right" vertical="center"/>
    </xf>
    <xf numFmtId="164" fontId="15" fillId="5" borderId="0" applyAlignment="1" pivotButton="0" quotePrefix="0" xfId="0">
      <alignment horizontal="right" vertical="center"/>
    </xf>
    <xf numFmtId="0" fontId="8" fillId="0" borderId="0" pivotButton="0" quotePrefix="0" xfId="0"/>
    <xf numFmtId="0" fontId="16" fillId="0" borderId="0" pivotButton="0" quotePrefix="0" xfId="0"/>
    <xf numFmtId="0" fontId="16" fillId="0" borderId="0" applyAlignment="1" pivotButton="0" quotePrefix="0" xfId="0">
      <alignment horizontal="right"/>
    </xf>
    <xf numFmtId="0" fontId="11" fillId="0" borderId="0" pivotButton="0" quotePrefix="0" xfId="0"/>
    <xf numFmtId="0" fontId="17" fillId="0" borderId="0" applyAlignment="1" pivotButton="0" quotePrefix="0" xfId="0">
      <alignment horizontal="right"/>
    </xf>
    <xf numFmtId="0" fontId="18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0" customWidth="1" min="4" max="4"/>
    <col width="14" customWidth="1" min="5" max="5"/>
    <col width="10" customWidth="1" min="6" max="6"/>
    <col width="16" customWidth="1" min="7" max="7"/>
    <col width="3" customWidth="1" min="8" max="8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42" customHeight="1">
      <c r="A2" s="1" t="n"/>
      <c r="B2" s="2" t="inlineStr">
        <is>
          <t>SMART  CLOUT</t>
        </is>
      </c>
      <c r="C2" s="1" t="n"/>
      <c r="D2" s="1" t="n"/>
      <c r="E2" s="1" t="n"/>
      <c r="F2" s="3" t="inlineStr">
        <is>
          <t>OFERTA HANDLOWA</t>
        </is>
      </c>
      <c r="H2" s="1" t="n"/>
    </row>
    <row r="3" ht="30" customHeight="1">
      <c r="A3" s="1" t="n"/>
      <c r="B3" s="4" t="inlineStr">
        <is>
          <t>TWÓJ PARTNER IT · NETAPP · CYBERBEZPIECZEŃSTWO</t>
        </is>
      </c>
      <c r="C3" s="1" t="n"/>
      <c r="D3" s="1" t="n"/>
      <c r="E3" s="1" t="n"/>
      <c r="F3" s="5" t="inlineStr">
        <is>
          <t>Nr:  OF/2026/000</t>
        </is>
      </c>
      <c r="H3" s="1" t="n"/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</row>
    <row r="5" ht="12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 ht="6" customHeight="1">
      <c r="A6" s="6" t="n"/>
      <c r="B6" s="6" t="n"/>
      <c r="C6" s="6" t="n"/>
      <c r="D6" s="6" t="n"/>
      <c r="E6" s="7" t="n"/>
      <c r="F6" s="7" t="n"/>
      <c r="G6" s="7" t="n"/>
      <c r="H6" s="7" t="n"/>
    </row>
    <row r="8" ht="20" customHeight="1">
      <c r="B8" s="8" t="inlineStr">
        <is>
          <t>KLIENT</t>
        </is>
      </c>
      <c r="F8" s="8" t="inlineStr">
        <is>
          <t>DATA / WAŻNA DO</t>
        </is>
      </c>
    </row>
    <row r="9">
      <c r="B9" s="9" t="inlineStr">
        <is>
          <t>[Nazwa firmy klienta Sp. z o.o.]</t>
        </is>
      </c>
      <c r="F9" s="10" t="inlineStr">
        <is>
          <t>Data oferty: [DD.MM.2026]</t>
        </is>
      </c>
    </row>
    <row r="10">
      <c r="B10" s="11" t="inlineStr">
        <is>
          <t>[Adres · NIP · Osoba kontaktowa · e-mail · tel.]</t>
        </is>
      </c>
      <c r="F10" s="10" t="inlineStr">
        <is>
          <t>Ważna do: [DD.MM.2026]</t>
        </is>
      </c>
    </row>
    <row r="11">
      <c r="B11" s="11" t="inlineStr">
        <is>
          <t>[Odbiorca oferty: Imię i Nazwisko, stanowisko]</t>
        </is>
      </c>
      <c r="F11" s="12" t="inlineStr">
        <is>
          <t>Warunki: 30 dni netto</t>
        </is>
      </c>
    </row>
    <row r="13" ht="20" customHeight="1">
      <c r="B13" s="13" t="inlineStr">
        <is>
          <t>PRZEDMIOT OFERTY</t>
        </is>
      </c>
    </row>
    <row r="14" ht="42" customHeight="1">
      <c r="B14" s="14" t="inlineStr">
        <is>
          <t>[Krótki opis zakresu — np. Dostawa i wdrożenie macierzy NetApp AFF A70 wraz z 3-letnim wsparciem NBD, migracją danych z aktualnej macierzy i dokumentacją powykonawczą.]</t>
        </is>
      </c>
    </row>
    <row r="17" ht="26" customHeight="1">
      <c r="B17" s="15" t="inlineStr">
        <is>
          <t>Lp.</t>
        </is>
      </c>
      <c r="C17" s="15" t="inlineStr">
        <is>
          <t>Nazwa / opis pozycji</t>
        </is>
      </c>
      <c r="D17" s="15" t="inlineStr">
        <is>
          <t>Kod / SKU</t>
        </is>
      </c>
      <c r="E17" s="15" t="inlineStr">
        <is>
          <t>Ilość</t>
        </is>
      </c>
      <c r="F17" s="15" t="inlineStr">
        <is>
          <t>Cena netto</t>
        </is>
      </c>
      <c r="G17" s="15" t="inlineStr">
        <is>
          <t>Rabat %</t>
        </is>
      </c>
      <c r="H17" s="15" t="inlineStr">
        <is>
          <t>Wartość netto</t>
        </is>
      </c>
    </row>
    <row r="18" ht="22" customHeight="1">
      <c r="B18" s="16" t="n">
        <v>1</v>
      </c>
      <c r="C18" s="17" t="inlineStr">
        <is>
          <t>[Macierz NetApp AFF A70, konfiguracja 2×controller, 24× 15.36 TB NVMe]</t>
        </is>
      </c>
      <c r="D18" s="16" t="inlineStr">
        <is>
          <t>AFF-A70-24-NVME</t>
        </is>
      </c>
      <c r="E18" s="16" t="n">
        <v>1</v>
      </c>
      <c r="F18" s="18" t="n">
        <v>250000</v>
      </c>
      <c r="G18" s="19" t="n">
        <v>0.1</v>
      </c>
      <c r="H18" s="20">
        <f>IFERROR(E18*F18*(1-G18),0)</f>
        <v/>
      </c>
    </row>
    <row r="19" ht="22" customHeight="1">
      <c r="B19" s="21" t="n">
        <v>2</v>
      </c>
      <c r="C19" s="22" t="inlineStr"/>
      <c r="D19" s="21" t="inlineStr"/>
      <c r="E19" s="21" t="inlineStr"/>
      <c r="F19" s="23" t="inlineStr"/>
      <c r="G19" s="24" t="n">
        <v>0</v>
      </c>
      <c r="H19" s="25">
        <f>IFERROR(E19*F19*(1-G19),0)</f>
        <v/>
      </c>
    </row>
    <row r="20" ht="22" customHeight="1">
      <c r="B20" s="16" t="n">
        <v>3</v>
      </c>
      <c r="C20" s="26" t="inlineStr"/>
      <c r="D20" s="16" t="inlineStr"/>
      <c r="E20" s="16" t="inlineStr"/>
      <c r="F20" s="18" t="inlineStr"/>
      <c r="G20" s="19" t="n">
        <v>0</v>
      </c>
      <c r="H20" s="20">
        <f>IFERROR(E20*F20*(1-G20),0)</f>
        <v/>
      </c>
    </row>
    <row r="21" ht="22" customHeight="1">
      <c r="B21" s="21" t="n">
        <v>4</v>
      </c>
      <c r="C21" s="22" t="inlineStr"/>
      <c r="D21" s="21" t="inlineStr"/>
      <c r="E21" s="21" t="inlineStr"/>
      <c r="F21" s="23" t="inlineStr"/>
      <c r="G21" s="24" t="n">
        <v>0</v>
      </c>
      <c r="H21" s="25">
        <f>IFERROR(E21*F21*(1-G21),0)</f>
        <v/>
      </c>
    </row>
    <row r="22" ht="22" customHeight="1">
      <c r="B22" s="16" t="n">
        <v>5</v>
      </c>
      <c r="C22" s="26" t="inlineStr"/>
      <c r="D22" s="16" t="inlineStr"/>
      <c r="E22" s="16" t="inlineStr"/>
      <c r="F22" s="18" t="inlineStr"/>
      <c r="G22" s="19" t="n">
        <v>0</v>
      </c>
      <c r="H22" s="20">
        <f>IFERROR(E22*F22*(1-G22),0)</f>
        <v/>
      </c>
    </row>
    <row r="23" ht="22" customHeight="1">
      <c r="B23" s="21" t="n">
        <v>6</v>
      </c>
      <c r="C23" s="22" t="inlineStr"/>
      <c r="D23" s="21" t="inlineStr"/>
      <c r="E23" s="21" t="inlineStr"/>
      <c r="F23" s="23" t="inlineStr"/>
      <c r="G23" s="24" t="n">
        <v>0</v>
      </c>
      <c r="H23" s="25">
        <f>IFERROR(E23*F23*(1-G23),0)</f>
        <v/>
      </c>
    </row>
    <row r="24" ht="22" customHeight="1">
      <c r="B24" s="16" t="n">
        <v>7</v>
      </c>
      <c r="C24" s="26" t="inlineStr"/>
      <c r="D24" s="16" t="inlineStr"/>
      <c r="E24" s="16" t="inlineStr"/>
      <c r="F24" s="18" t="inlineStr"/>
      <c r="G24" s="19" t="n">
        <v>0</v>
      </c>
      <c r="H24" s="20">
        <f>IFERROR(E24*F24*(1-G24),0)</f>
        <v/>
      </c>
    </row>
    <row r="25" ht="22" customHeight="1">
      <c r="B25" s="21" t="n">
        <v>8</v>
      </c>
      <c r="C25" s="22" t="inlineStr"/>
      <c r="D25" s="21" t="inlineStr"/>
      <c r="E25" s="21" t="inlineStr"/>
      <c r="F25" s="23" t="inlineStr"/>
      <c r="G25" s="24" t="n">
        <v>0</v>
      </c>
      <c r="H25" s="25">
        <f>IFERROR(E25*F25*(1-G25),0)</f>
        <v/>
      </c>
    </row>
    <row r="26" ht="22" customHeight="1">
      <c r="B26" s="16" t="n">
        <v>9</v>
      </c>
      <c r="C26" s="26" t="inlineStr"/>
      <c r="D26" s="16" t="inlineStr"/>
      <c r="E26" s="16" t="inlineStr"/>
      <c r="F26" s="18" t="inlineStr"/>
      <c r="G26" s="19" t="n">
        <v>0</v>
      </c>
      <c r="H26" s="20">
        <f>IFERROR(E26*F26*(1-G26),0)</f>
        <v/>
      </c>
    </row>
    <row r="27" ht="22" customHeight="1">
      <c r="B27" s="21" t="n">
        <v>10</v>
      </c>
      <c r="C27" s="22" t="inlineStr"/>
      <c r="D27" s="21" t="inlineStr"/>
      <c r="E27" s="21" t="inlineStr"/>
      <c r="F27" s="23" t="inlineStr"/>
      <c r="G27" s="24" t="n">
        <v>0</v>
      </c>
      <c r="H27" s="25">
        <f>IFERROR(E27*F27*(1-G27),0)</f>
        <v/>
      </c>
    </row>
    <row r="29" ht="22" customHeight="1">
      <c r="B29" s="27" t="n"/>
      <c r="C29" s="27" t="n"/>
      <c r="D29" s="27" t="n"/>
      <c r="E29" s="27" t="n"/>
      <c r="F29" s="28" t="inlineStr">
        <is>
          <t>Suma netto</t>
        </is>
      </c>
      <c r="H29" s="29">
        <f>SUM(H18:H27)</f>
        <v/>
      </c>
    </row>
    <row r="30">
      <c r="F30" s="30" t="inlineStr">
        <is>
          <t>VAT 23%</t>
        </is>
      </c>
      <c r="H30" s="31">
        <f>H29*0.23</f>
        <v/>
      </c>
    </row>
    <row r="31" ht="30" customHeight="1">
      <c r="B31" s="32" t="n"/>
      <c r="C31" s="32" t="n"/>
      <c r="D31" s="32" t="n"/>
      <c r="E31" s="32" t="n"/>
      <c r="F31" s="33" t="inlineStr">
        <is>
          <t>RAZEM BRUTTO</t>
        </is>
      </c>
      <c r="H31" s="34">
        <f>H29+H30</f>
        <v/>
      </c>
    </row>
    <row r="34">
      <c r="B34" s="13" t="inlineStr">
        <is>
          <t>WARUNKI HANDLOWE</t>
        </is>
      </c>
    </row>
    <row r="35">
      <c r="B35" s="35" t="inlineStr">
        <is>
          <t>· Termin realizacji: 4–6 tygodni od potwierdzenia zamówienia</t>
        </is>
      </c>
    </row>
    <row r="36">
      <c r="B36" s="35" t="inlineStr">
        <is>
          <t>· Płatność: przelew 30 dni od daty wystawienia faktury</t>
        </is>
      </c>
    </row>
    <row r="37">
      <c r="B37" s="35" t="inlineStr">
        <is>
          <t>· Gwarancja: zgodnie z warunkami producenta, min. 3 lata NBD on-site</t>
        </is>
      </c>
    </row>
    <row r="38">
      <c r="B38" s="35" t="inlineStr">
        <is>
          <t>· Wdrożenie i szkolenie: w cenie oferty, na zamówienie klienta</t>
        </is>
      </c>
    </row>
    <row r="39">
      <c r="B39" s="35" t="inlineStr">
        <is>
          <t>· Ceny nie zawierają podatku VAT · oferta ważna 30 dni</t>
        </is>
      </c>
    </row>
    <row r="42">
      <c r="B42" s="36" t="inlineStr">
        <is>
          <t>Oferent:</t>
        </is>
      </c>
      <c r="F42" s="37" t="inlineStr">
        <is>
          <t>Akceptacja klienta:</t>
        </is>
      </c>
    </row>
    <row r="43">
      <c r="B43" s="38" t="inlineStr">
        <is>
          <t>[Imię Nazwisko, stanowisko]</t>
        </is>
      </c>
    </row>
    <row r="44">
      <c r="B44" s="36" t="inlineStr">
        <is>
          <t>tel. +48 533 956 934 · biuro@smartclout.pl</t>
        </is>
      </c>
      <c r="F44" s="10" t="inlineStr">
        <is>
          <t>_________________________________</t>
        </is>
      </c>
    </row>
    <row r="45">
      <c r="F45" s="39" t="inlineStr">
        <is>
          <t>podpis i pieczątka</t>
        </is>
      </c>
    </row>
    <row r="48" ht="24" customHeight="1">
      <c r="A48" s="1" t="n"/>
      <c r="B48" s="40" t="inlineStr">
        <is>
          <t>SmartClout Sp. z o.o.  ·  NIP 5842813752  ·  REGON 521229601  ·  KRS 0000952777  ·  ul. Leona Lubomira Kruszyńskiego 19, 62-700 Turek</t>
        </is>
      </c>
    </row>
  </sheetData>
  <mergeCells count="15">
    <mergeCell ref="F3:G3"/>
    <mergeCell ref="B36:H36"/>
    <mergeCell ref="F2:G2"/>
    <mergeCell ref="F30:G30"/>
    <mergeCell ref="F42:H42"/>
    <mergeCell ref="F29:G29"/>
    <mergeCell ref="B14:G14"/>
    <mergeCell ref="B35:H35"/>
    <mergeCell ref="F45:H45"/>
    <mergeCell ref="B39:H39"/>
    <mergeCell ref="F31:G31"/>
    <mergeCell ref="B38:H38"/>
    <mergeCell ref="B48:H48"/>
    <mergeCell ref="F44:H44"/>
    <mergeCell ref="B37:H37"/>
  </mergeCells>
  <printOptions horizontalCentered="1"/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2026-08-19T16:24:47Z</dcterms:created>
  <dcterms:modified xmlns:dcterms="http://purl.org/dc/terms/" xmlns:xsi="http://www.w3.org/2001/XMLSchema-instance" xsi:type="dcterms:W3CDTF">2026-08-19T16:24:47Z</dcterms:modified>
</cp:coreProperties>
</file>